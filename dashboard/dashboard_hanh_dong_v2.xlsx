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d7dea66294e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fa9cf931983456c"/>
    <x:sheet xmlns:r="http://schemas.openxmlformats.org/officeDocument/2006/relationships" name="Chẩn đoán" sheetId="2" r:id="Rc6ba0c72e77c4f44"/>
    <x:sheet xmlns:r="http://schemas.openxmlformats.org/officeDocument/2006/relationships" name="Lộ trình" sheetId="3" r:id="R41e4127b48e5452a"/>
    <x:sheet xmlns:r="http://schemas.openxmlformats.org/officeDocument/2006/relationships" name="Nguồn" sheetId="4" r:id="R4f584474d846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dd/mm/yyyy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06D"/>
      <x:name val="Arial"/>
    </x:font>
    <x:font>
      <x:b/>
      <x:sz val="10"/>
      <x:color rgb="FF17324D"/>
      <x:name val="Arial"/>
    </x:font>
    <x:font>
      <x:b/>
      <x:sz val="10"/>
      <x:color rgb="FF7A4E00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E9EEF2"/>
      </x:patternFill>
    </x:fill>
    <x:fill>
      <x:patternFill patternType="solid">
        <x:fgColor rgb="FFFFF3CD"/>
      </x:patternFill>
    </x:fill>
    <x:fill>
      <x:patternFill patternType="solid">
        <x:fgColor rgb="FF17324D"/>
      </x:patternFill>
    </x:fill>
  </x:fills>
  <x:borders count="13">
    <x:border>
      <x:left/>
      <x:right/>
      <x:top/>
      <x:bottom/>
      <x:diagonal/>
    </x:border>
    <x:border>
      <x:left/>
      <x:right/>
      <x:top/>
      <x:bottom style="thin">
        <x:color rgb="FF246B9C"/>
      </x:bottom>
      <x:diagonal/>
    </x:border>
    <x:border>
      <x:left style="thin">
        <x:color rgb="FF246B9C"/>
      </x:left>
      <x:right/>
      <x:top style="thin">
        <x:color rgb="FF246B9C"/>
      </x:top>
      <x:bottom style="thin">
        <x:color rgb="FF246B9C"/>
      </x:bottom>
      <x:diagonal/>
    </x:border>
    <x:border>
      <x:left/>
      <x:right style="thin">
        <x:color rgb="FF246B9C"/>
      </x:right>
      <x:top style="thin">
        <x:color rgb="FF246B9C"/>
      </x:top>
      <x:bottom style="thin">
        <x:color rgb="FF246B9C"/>
      </x:bottom>
      <x:diagonal/>
    </x:border>
    <x:border>
      <x:left style="thin">
        <x:color rgb="FFC48A00"/>
      </x:left>
      <x:right/>
      <x:top style="thin">
        <x:color rgb="FFC48A00"/>
      </x:top>
      <x:bottom style="thin">
        <x:color rgb="FFC48A00"/>
      </x:bottom>
      <x:diagonal/>
    </x:border>
    <x:border>
      <x:left/>
      <x:right/>
      <x:top style="thin">
        <x:color rgb="FFC48A00"/>
      </x:top>
      <x:bottom style="thin">
        <x:color rgb="FFC48A00"/>
      </x:bottom>
      <x:diagonal/>
    </x:border>
    <x:border>
      <x:left/>
      <x:right style="thin">
        <x:color rgb="FFC48A00"/>
      </x:right>
      <x:top style="thin">
        <x:color rgb="FFC48A00"/>
      </x:top>
      <x:bottom style="thin">
        <x:color rgb="FFC48A00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C9D3DC"/>
      </x:bottom>
      <x:diagonal/>
    </x:border>
    <x:border>
      <x:left/>
      <x:right/>
      <x:top style="thin">
        <x:color rgb="FFC9D3DC"/>
      </x:top>
      <x:bottom style="thin">
        <x:color rgb="FFC9D3DC"/>
      </x:bottom>
      <x:diagonal/>
    </x:border>
    <x:border>
      <x:left/>
      <x:right/>
      <x:top style="thin">
        <x:color rgb="FF246B9C"/>
      </x:top>
      <x:bottom style="thin">
        <x:color rgb="FF246B9C"/>
      </x:bottom>
      <x:diagonal/>
    </x:border>
    <x:border>
      <x:left/>
      <x:right/>
      <x:top style="thin">
        <x:color rgb="FFC9D3DC"/>
      </x:top>
      <x:bottom/>
      <x:diagonal/>
    </x:border>
    <x:border>
      <x:left style="thin">
        <x:color rgb="FFC9D3DC"/>
      </x:left>
      <x:right style="thin">
        <x:color rgb="FFC9D3DC"/>
      </x:right>
      <x:top style="thin">
        <x:color rgb="FFC9D3DC"/>
      </x:top>
      <x:bottom style="thin">
        <x:color rgb="FFC9D3DC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200" fontId="1" fillId="0" borderId="8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horizontal="center" vertical="top" wrapText="1"/>
    </x:xf>
    <x:xf numFmtId="0" fontId="1" fillId="0" borderId="9" xfId="0" applyNumberFormat="1" applyFont="1" applyFill="1" applyBorder="1" applyAlignment="1">
      <x:alignment horizontal="center" vertical="top" wrapText="1"/>
    </x:xf>
    <x:xf numFmtId="0" fontId="4" fillId="2" borderId="1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 wrapText="1"/>
    </x:xf>
    <x:xf numFmtId="201" fontId="1" fillId="0" borderId="8" xfId="0" applyNumberFormat="1" applyFont="1" applyFill="1" applyBorder="1" applyAlignment="1">
      <x:alignment vertical="top" wrapText="1"/>
    </x:xf>
    <x:xf numFmtId="201" fontId="1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E6B34"/>
      </x:font>
      <x:fill>
        <x:patternFill patternType="solid">
          <x:bgColor rgb="FFE7F4EA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7A4E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7e0aa08334d62" /><Relationship Type="http://schemas.openxmlformats.org/officeDocument/2006/relationships/theme" Target="/xl/theme/theme1.xml" Id="Rbfda1c8eda0b42a0" /><Relationship Type="http://schemas.openxmlformats.org/officeDocument/2006/relationships/sharedStrings" Target="/xl/sharedStrings.xml" Id="R73c358d000f34009" /><Relationship Type="http://schemas.openxmlformats.org/officeDocument/2006/relationships/worksheet" Target="/xl/worksheets/sheet1.xml" Id="Rdfa9cf931983456c" /><Relationship Type="http://schemas.openxmlformats.org/officeDocument/2006/relationships/worksheet" Target="/xl/worksheets/sheet2.xml" Id="Rc6ba0c72e77c4f44" /><Relationship Type="http://schemas.openxmlformats.org/officeDocument/2006/relationships/worksheet" Target="/xl/worksheets/sheet3.xml" Id="R41e4127b48e5452a" /><Relationship Type="http://schemas.openxmlformats.org/officeDocument/2006/relationships/worksheet" Target="/xl/worksheets/sheet4.xml" Id="R4f584474d84646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34" hidden="0" customWidth="1"/>
    <x:col min="4" max="4" width="8" hidden="0" customWidth="1"/>
    <x:col min="5" max="5" width="18" hidden="0" customWidth="1"/>
    <x:col min="6" max="6" width="13" hidden="0" customWidth="1"/>
    <x:col min="7" max="7" width="15" hidden="0" customWidth="1"/>
    <x:col min="8" max="8" width="29" hidden="0" customWidth="1"/>
    <x:col min="9" max="9" width="20" hidden="0" customWidth="1"/>
    <x:col min="10" max="10" width="42" hidden="0" customWidth="1"/>
    <x:col min="11" max="11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Dashboard Hành Động Cho Áp Dụng AI v2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5" t="str">
        <x:v>Case thực tế: GOV.UK Chat. Baseline là pilot 2023–2024; số mới nhất dùng để kiểm tra logic quyết định.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8" t="str">
        <x:v>Trạng thái gate</x:v>
      </x:c>
      <x:c r="B6" s="9"/>
      <x:c r="C6" s="12" t="str">
        <x:v>Đạt</x:v>
      </x:c>
      <x:c r="D6" s="12" t="n">
        <x:f>COUNTIFS(K8:K13,"ĐẠT")</x:f>
        <x:v>2</x:v>
      </x:c>
      <x:c r="E6" s="12" t="str">
        <x:v>Chưa đạt</x:v>
      </x:c>
      <x:c r="F6" s="12" t="n">
        <x:f>COUNTIFS(K8:K13,"CHƯA ĐẠT")</x:f>
        <x:v>1</x:v>
      </x:c>
      <x:c r="G6" s="12" t="str">
        <x:v>Cần đo</x:v>
      </x:c>
      <x:c r="H6" s="12" t="n">
        <x:f>COUNTIFS(K8:K13,"CẦN ĐO")</x:f>
        <x:v>3</x:v>
      </x:c>
      <x:c r="I6" s="21" t="str">
        <x:v>Quyết định: SỬA rồi tiếp tục pilot có kiểm soát</x:v>
      </x:c>
      <x:c r="J6" s="22"/>
      <x:c r="K6" s="23"/>
    </x:row>
    <x:row r="7">
      <x:c r="A7" s="28" t="str">
        <x:v>Cấp</x:v>
      </x:c>
      <x:c r="B7" s="28" t="str">
        <x:v>Tầng</x:v>
      </x:c>
      <x:c r="C7" s="28" t="str">
        <x:v>Chỉ số</x:v>
      </x:c>
      <x:c r="D7" s="28" t="str">
        <x:v>Hướng</x:v>
      </x:c>
      <x:c r="E7" s="28" t="str">
        <x:v>Baseline</x:v>
      </x:c>
      <x:c r="F7" s="28" t="str">
        <x:v>Mục tiêu</x:v>
      </x:c>
      <x:c r="G7" s="28" t="str">
        <x:v>Số mới nhất</x:v>
      </x:c>
      <x:c r="H7" s="28" t="str">
        <x:v>Nguồn dữ liệu</x:v>
      </x:c>
      <x:c r="I7" s="28" t="str">
        <x:v>Owner</x:v>
      </x:c>
      <x:c r="J7" s="28" t="str">
        <x:v>Khi chỉ số xấu</x:v>
      </x:c>
      <x:c r="K7" s="28" t="str">
        <x:v>Gate</x:v>
      </x:c>
    </x:row>
    <x:row r="8" ht="58" customHeight="1">
      <x:c r="A8" s="31" t="str">
        <x:v>Product</x:v>
      </x:c>
      <x:c r="B8" s="31" t="str">
        <x:v>Chất lượng</x:v>
      </x:c>
      <x:c r="C8" s="31" t="str">
        <x:v>Độ chính xác do chuyên gia đánh giá</x:v>
      </x:c>
      <x:c r="D8" s="31" t="str">
        <x:v>≥</x:v>
      </x:c>
      <x:c r="E8" s="33" t="n">
        <x:v>0.76</x:v>
      </x:c>
      <x:c r="F8" s="33" t="n">
        <x:v>0.9</x:v>
      </x:c>
      <x:c r="G8" s="33" t="n">
        <x:v>0.9</x:v>
      </x:c>
      <x:c r="H8" s="31" t="str">
        <x:v>Mẫu QA chuyên gia + bộ eval</x:v>
      </x:c>
      <x:c r="I8" s="31" t="str">
        <x:v>AI Quality Lead</x:v>
      </x:c>
      <x:c r="J8" s="31" t="str">
        <x:v>Phân tích failure set; sửa retrieval/prompt; chạy regression trước release</x:v>
      </x:c>
      <x:c r="K8" s="35" t="str">
        <x:f>IF(OR(NOT(ISNUMBER(E8)),NOT(ISNUMBER(F8)),NOT(ISNUMBER(G8))),"CẦN ĐO",IF(D8="≥",IF(G8&gt;=F8,"ĐẠT","CHƯA ĐẠT"),IF(G8&lt;=F8,"ĐẠT","CHƯA ĐẠT")))</x:f>
        <x:v>ĐẠT</x:v>
      </x:c>
    </x:row>
    <x:row r="9" ht="58" customHeight="1">
      <x:c r="A9" s="32" t="str">
        <x:v>Workflow</x:v>
      </x:c>
      <x:c r="B9" s="32" t="str">
        <x:v>Hành vi</x:v>
      </x:c>
      <x:c r="C9" s="32" t="str">
        <x:v>Người dùng thấy câu trả lời hữu ích</x:v>
      </x:c>
      <x:c r="D9" s="32" t="str">
        <x:v>≥</x:v>
      </x:c>
      <x:c r="E9" s="34" t="n">
        <x:v>0.7</x:v>
      </x:c>
      <x:c r="F9" s="34" t="n">
        <x:v>0.73</x:v>
      </x:c>
      <x:c r="G9" s="34" t="n">
        <x:v>0.73</x:v>
      </x:c>
      <x:c r="H9" s="32" t="str">
        <x:v>Khảo sát sau phiên + log câu hỏi</x:v>
      </x:c>
      <x:c r="I9" s="32" t="str">
        <x:v>User Research Lead</x:v>
      </x:c>
      <x:c r="J9" s="32" t="str">
        <x:v>Phân đoạn theo chủ đề; sửa cách trình bày nguồn và bước tiếp theo</x:v>
      </x:c>
      <x:c r="K9" s="36" t="str">
        <x:f>IF(OR(NOT(ISNUMBER(E9)),NOT(ISNUMBER(F9)),NOT(ISNUMBER(G9))),"CẦN ĐO",IF(D9="≥",IF(G9&gt;=F9,"ĐẠT","CHƯA ĐẠT"),IF(G9&lt;=F9,"ĐẠT","CHƯA ĐẠT")))</x:f>
        <x:v>ĐẠT</x:v>
      </x:c>
    </x:row>
    <x:row r="10" ht="58" customHeight="1">
      <x:c r="A10" s="32" t="str">
        <x:v>Workflow</x:v>
      </x:c>
      <x:c r="B10" s="32" t="str">
        <x:v>Giá trị</x:v>
      </x:c>
      <x:c r="C10" s="32" t="str">
        <x:v>Tỷ lệ hài lòng chung</x:v>
      </x:c>
      <x:c r="D10" s="32" t="str">
        <x:v>≥</x:v>
      </x:c>
      <x:c r="E10" s="34" t="n">
        <x:v>0.65</x:v>
      </x:c>
      <x:c r="F10" s="34" t="n">
        <x:v>0.7</x:v>
      </x:c>
      <x:c r="G10" s="34" t="n">
        <x:v>0.64</x:v>
      </x:c>
      <x:c r="H10" s="32" t="str">
        <x:v>Khảo sát sau phiên</x:v>
      </x:c>
      <x:c r="I10" s="32" t="str">
        <x:v>Product Manager</x:v>
      </x:c>
      <x:c r="J10" s="32" t="str">
        <x:v>Phân tích tác động của tốc độ, độ rõ và câu trả lời không đầy đủ</x:v>
      </x:c>
      <x:c r="K10" s="36" t="str">
        <x:f>IF(OR(NOT(ISNUMBER(E10)),NOT(ISNUMBER(F10)),NOT(ISNUMBER(G10))),"CẦN ĐO",IF(D10="≥",IF(G10&gt;=F10,"ĐẠT","CHƯA ĐẠT"),IF(G10&lt;=F10,"ĐẠT","CHƯA ĐẠT")))</x:f>
        <x:v>CHƯA ĐẠT</x:v>
      </x:c>
    </x:row>
    <x:row r="11" ht="58" customHeight="1">
      <x:c r="A11" s="32" t="str">
        <x:v>Product</x:v>
      </x:c>
      <x:c r="B11" s="32" t="str">
        <x:v>Tin cậy</x:v>
      </x:c>
      <x:c r="C11" s="32" t="str">
        <x:v>Tỷ lệ trả lời câu hỏi trong phạm vi</x:v>
      </x:c>
      <x:c r="D11" s="32" t="str">
        <x:v>≥</x:v>
      </x:c>
      <x:c r="E11" s="34" t="str">
        <x:v>Chưa công bố; đo tuần 1</x:v>
      </x:c>
      <x:c r="F11" s="34" t="n">
        <x:v>0.9</x:v>
      </x:c>
      <x:c r="G11" s="34" t="n">
        <x:v>0.88</x:v>
      </x:c>
      <x:c r="H11" s="32" t="str">
        <x:v>Log hội thoại + nhãn in-scope</x:v>
      </x:c>
      <x:c r="I11" s="32" t="str">
        <x:v>AI Product Owner</x:v>
      </x:c>
      <x:c r="J11" s="32" t="str">
        <x:v>Thêm câu hỏi làm rõ; rà soát phân loại và coverage nguồn</x:v>
      </x:c>
      <x:c r="K11" s="36" t="str">
        <x:f>IF(OR(NOT(ISNUMBER(E11)),NOT(ISNUMBER(F11)),NOT(ISNUMBER(G11))),"CẦN ĐO",IF(D11="≥",IF(G11&gt;=F11,"ĐẠT","CHƯA ĐẠT"),IF(G11&lt;=F11,"ĐẠT","CHƯA ĐẠT")))</x:f>
        <x:v>CẦN ĐO</x:v>
      </x:c>
    </x:row>
    <x:row r="12" ht="58" customHeight="1">
      <x:c r="A12" s="32" t="str">
        <x:v>Workflow</x:v>
      </x:c>
      <x:c r="B12" s="32" t="str">
        <x:v>Năng suất</x:v>
      </x:c>
      <x:c r="C12" s="32" t="str">
        <x:v>Thời gian phản hồi trung bình (giây)</x:v>
      </x:c>
      <x:c r="D12" s="32" t="str">
        <x:v>≤</x:v>
      </x:c>
      <x:c r="E12" s="32" t="str">
        <x:v>Chưa công bố; đo tuần 1</x:v>
      </x:c>
      <x:c r="F12" s="32" t="n">
        <x:v>10</x:v>
      </x:c>
      <x:c r="G12" s="32" t="n">
        <x:v>10.7</x:v>
      </x:c>
      <x:c r="H12" s="32" t="str">
        <x:v>Telemetry phản hồi</x:v>
      </x:c>
      <x:c r="I12" s="32" t="str">
        <x:v>Engineering Lead</x:v>
      </x:c>
      <x:c r="J12" s="32" t="str">
        <x:v>Thử streaming/caching nhưng giữ nguyên gate về accuracy</x:v>
      </x:c>
      <x:c r="K12" s="36" t="str">
        <x:f>IF(OR(NOT(ISNUMBER(E12)),NOT(ISNUMBER(F12)),NOT(ISNUMBER(G12))),"CẦN ĐO",IF(D12="≥",IF(G12&gt;=F12,"ĐẠT","CHƯA ĐẠT"),IF(G12&lt;=F12,"ĐẠT","CHƯA ĐẠT")))</x:f>
        <x:v>CẦN ĐO</x:v>
      </x:c>
    </x:row>
    <x:row r="13" ht="58" customHeight="1">
      <x:c r="A13" s="32" t="str">
        <x:v>Workflow</x:v>
      </x:c>
      <x:c r="B13" s="32" t="str">
        <x:v>Bàn giao</x:v>
      </x:c>
      <x:c r="C13" s="32" t="str">
        <x:v>Tỷ lệ handoff thành công khi cần hỗ trợ cá nhân</x:v>
      </x:c>
      <x:c r="D13" s="32" t="str">
        <x:v>≥</x:v>
      </x:c>
      <x:c r="E13" s="32" t="str">
        <x:v>Chưa có quy trình</x:v>
      </x:c>
      <x:c r="F13" s="34" t="n">
        <x:v>0.8</x:v>
      </x:c>
      <x:c r="G13" s="32" t="str">
        <x:v>Đo trong pilot</x:v>
      </x:c>
      <x:c r="H13" s="32" t="str">
        <x:v>Log handoff + kết quả hỗ trợ</x:v>
      </x:c>
      <x:c r="I13" s="32" t="str">
        <x:v>Service Owner</x:v>
      </x:c>
      <x:c r="J13" s="32" t="str">
        <x:v>Sửa routing; bổ sung queue và SLA; không mở rộng đến khi đo được</x:v>
      </x:c>
      <x:c r="K13" s="36" t="str">
        <x:f>IF(OR(NOT(ISNUMBER(E13)),NOT(ISNUMBER(F13)),NOT(ISNUMBER(G13))),"CẦN ĐO",IF(D13="≥",IF(G13&gt;=F13,"ĐẠT","CHƯA ĐẠT"),IF(G13&lt;=F13,"ĐẠT","CHƯA ĐẠT")))</x:f>
        <x:v>CẦN ĐO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8" t="str">
        <x:v>Gate quyết định</x:v>
      </x:c>
      <x:c r="B16" s="37"/>
      <x:c r="C16" s="37"/>
      <x:c r="D16" s="37"/>
      <x:c r="E16" s="37"/>
      <x:c r="F16" s="37"/>
      <x:c r="G16" s="37"/>
      <x:c r="H16" s="37"/>
      <x:c r="I16" s="37"/>
      <x:c r="J16" s="37"/>
      <x:c r="K16" s="9"/>
    </x:row>
    <x:row r="17" ht="52" customHeight="1">
      <x:c r="A17" s="39" t="str">
        <x:v>Gate 30</x:v>
      </x:c>
      <x:c r="B17" s="40" t="str">
        <x:v>Có baseline cho accuracy, usefulness, satisfaction và latency; chốt data/content owner; scope chỉ gồm hỏi đáp, kiểm chứng nguồn và clarification.</x:v>
      </x:c>
      <x:c r="C17" s="40" t="str"/>
      <x:c r="D17" s="40" t="str"/>
      <x:c r="E17" s="40" t="str"/>
      <x:c r="F17" s="40" t="str"/>
      <x:c r="G17" s="40" t="str"/>
      <x:c r="H17" s="40" t="str"/>
      <x:c r="I17" s="39" t="str">
        <x:v>Owner</x:v>
      </x:c>
      <x:c r="J17" s="40" t="str">
        <x:v>Product Manager + Content Lead</x:v>
      </x:c>
      <x:c r="K17" s="40" t="str"/>
    </x:row>
    <x:row r="18" ht="52" customHeight="1">
      <x:c r="A18" s="41" t="str">
        <x:v>Gate 60</x:v>
      </x:c>
      <x:c r="B18" s="42" t="str">
        <x:v>Accuracy ≥90%; câu trả lời luôn kèm nguồn; có regression suite và QA mẫu; handoff được chạy thử với log đo được.</x:v>
      </x:c>
      <x:c r="C18" s="42" t="str"/>
      <x:c r="D18" s="42" t="str"/>
      <x:c r="E18" s="42" t="str"/>
      <x:c r="F18" s="42" t="str"/>
      <x:c r="G18" s="42" t="str"/>
      <x:c r="H18" s="42" t="str"/>
      <x:c r="I18" s="41" t="str">
        <x:v>Owner</x:v>
      </x:c>
      <x:c r="J18" s="42" t="str">
        <x:v>AI Quality Lead + Service Owner</x:v>
      </x:c>
      <x:c r="K18" s="42" t="str"/>
    </x:row>
    <x:row r="19" ht="52" customHeight="1">
      <x:c r="A19" s="41" t="str">
        <x:v>Gate 90</x:v>
      </x:c>
      <x:c r="B19" s="42" t="str">
        <x:v>Chỉ mở rộng khi accuracy đạt, usefulness ≥73%, satisfaction ≥70%, latency ≤10 giây và handoff ≥80%; không có sự cố an toàn nghiêm trọng.</x:v>
      </x:c>
      <x:c r="C19" s="42" t="str"/>
      <x:c r="D19" s="42" t="str"/>
      <x:c r="E19" s="42" t="str"/>
      <x:c r="F19" s="42" t="str"/>
      <x:c r="G19" s="42" t="str"/>
      <x:c r="H19" s="42" t="str"/>
      <x:c r="I19" s="41" t="str">
        <x:v>Owner</x:v>
      </x:c>
      <x:c r="J19" s="42" t="str">
        <x:v>Service Owner</x:v>
      </x:c>
      <x:c r="K19" s="42" t="str"/>
    </x:row>
    <x:row r="20" ht="52" customHeight="1">
      <x:c r="A20" s="43" t="str">
        <x:v>Quy tắc</x:v>
      </x:c>
      <x:c r="B20" s="44" t="str">
        <x:v>Nếu chất lượng đạt nhưng satisfaction/latency chưa đạt: sửa UX và tốc độ. Nếu accuracy hoặc handoff chưa đo/không đạt: giữ pilot, không rollout rộng.</x:v>
      </x:c>
      <x:c r="C20" s="44" t="str"/>
      <x:c r="D20" s="44" t="str"/>
      <x:c r="E20" s="44" t="str"/>
      <x:c r="F20" s="44" t="str"/>
      <x:c r="G20" s="44" t="str"/>
      <x:c r="H20" s="44" t="str"/>
      <x:c r="I20" s="43" t="str">
        <x:v>Decision</x:v>
      </x:c>
      <x:c r="J20" s="44" t="str">
        <x:v>SỬA rồi tiếp tục pilot</x:v>
      </x:c>
      <x:c r="K20" s="44" t="str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</x:sheetData>
  <x:mergeCells>
    <x:mergeCell ref="A2:K2"/>
    <x:mergeCell ref="A4:K4"/>
    <x:mergeCell ref="A6:B6"/>
    <x:mergeCell ref="I6:K6"/>
    <x:mergeCell ref="A16:K16"/>
    <x:mergeCell ref="B17:H17"/>
    <x:mergeCell ref="J17:K17"/>
    <x:mergeCell ref="B18:H18"/>
    <x:mergeCell ref="J18:K18"/>
    <x:mergeCell ref="B19:H19"/>
    <x:mergeCell ref="J19:K19"/>
    <x:mergeCell ref="B20:H20"/>
    <x:mergeCell ref="J20:K20"/>
  </x:mergeCells>
  <x:conditionalFormatting sqref="K8:K13">
    <x:cfRule type="expression" dxfId="0" priority="1">
      <x:formula>$K8="ĐẠT"</x:formula>
    </x:cfRule>
    <x:cfRule type="expression" dxfId="1" priority="2">
      <x:formula>$K8="CHƯA ĐẠT"</x:formula>
    </x:cfRule>
    <x:cfRule type="expression" dxfId="2" priority="3">
      <x:formula>$K8="CẦN ĐO"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6B9C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5" hidden="0" customWidth="1"/>
    <x:col min="4" max="4" width="14" hidden="0" customWidth="1"/>
    <x:col min="5" max="5" width="36" hidden="0" customWidth="1"/>
    <x:col min="6" max="6" width="34" hidden="0" customWidth="1"/>
    <x:col min="7" max="7" width="34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Chẩn đoán nguyên nhân và thiết kế workflow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8" t="str">
        <x:v>Phạm vi khóa</x:v>
      </x:c>
      <x:c r="B5" s="37"/>
      <x:c r="C5" s="37"/>
      <x:c r="D5" s="37"/>
      <x:c r="E5" s="37"/>
      <x:c r="F5" s="37"/>
      <x:c r="G5" s="37"/>
      <x:c r="H5" s="9"/>
    </x:row>
    <x:row r="6" ht="40" customHeight="1">
      <x:c r="A6" s="38" t="str">
        <x:v>Sản phẩm</x:v>
      </x:c>
      <x:c r="B6" s="29" t="str">
        <x:v>GOV.UK Chat, trợ lý AI công khai dựa trên nội dung GOV.UK</x:v>
      </x:c>
      <x:c r="C6" s="2"/>
      <x:c r="D6" s="2"/>
      <x:c r="E6" s="2"/>
      <x:c r="F6" s="2"/>
      <x:c r="G6" s="2"/>
      <x:c r="H6" s="2"/>
    </x:row>
    <x:row r="7" ht="40" customHeight="1">
      <x:c r="A7" s="38" t="str">
        <x:v>Người dùng chính</x:v>
      </x:c>
      <x:c r="B7" s="29" t="str">
        <x:v>Người dân và người dùng doanh nghiệp cần tìm hướng dẫn dịch vụ công</x:v>
      </x:c>
      <x:c r="C7" s="2"/>
      <x:c r="D7" s="2"/>
      <x:c r="E7" s="2"/>
      <x:c r="F7" s="2"/>
      <x:c r="G7" s="2"/>
      <x:c r="H7" s="2"/>
    </x:row>
    <x:row r="8" ht="40" customHeight="1">
      <x:c r="A8" s="38" t="str">
        <x:v>3 quy trình</x:v>
      </x:c>
      <x:c r="B8" s="29" t="str">
        <x:v>Đặt câu hỏi; kiểm chứng nguồn; chuyển sang hỗ trợ con người khi câu hỏi cần dữ liệu cá nhân hoặc ngoài phạm vi</x:v>
      </x:c>
      <x:c r="C8" s="2"/>
      <x:c r="D8" s="2"/>
      <x:c r="E8" s="2"/>
      <x:c r="F8" s="2"/>
      <x:c r="G8" s="2"/>
      <x:c r="H8" s="2"/>
    </x:row>
    <x:row r="9" ht="40" customHeight="1">
      <x:c r="A9" s="38" t="str">
        <x:v>Vấn đề quan sát</x:v>
      </x:c>
      <x:c r="B9" s="29" t="str">
        <x:v>Accuracy ban đầu 76%, có hallucination; người dùng có thể tin quá mức vì thương hiệu GOV.UK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8" t="str">
        <x:v>Framework và nguyên nhân gốc</x:v>
      </x:c>
      <x:c r="B12" s="37"/>
      <x:c r="C12" s="37"/>
      <x:c r="D12" s="37"/>
      <x:c r="E12" s="37"/>
      <x:c r="F12" s="37"/>
      <x:c r="G12" s="37"/>
      <x:c r="H12" s="9"/>
    </x:row>
    <x:row r="13">
      <x:c r="A13" s="28" t="str">
        <x:v>Framework</x:v>
      </x:c>
      <x:c r="B13" s="28" t="str">
        <x:v>Trục</x:v>
      </x:c>
      <x:c r="C13" s="28" t="str">
        <x:v>Nhận định</x:v>
      </x:c>
      <x:c r="D13" s="28" t="str">
        <x:v>Mức</x:v>
      </x:c>
      <x:c r="E13" s="28" t="str">
        <x:v>Bằng chứng</x:v>
      </x:c>
      <x:c r="F13" s="28" t="str">
        <x:v>Nguyên nhân gốc</x:v>
      </x:c>
      <x:c r="G13" s="28" t="str">
        <x:v>Giải pháp</x:v>
      </x:c>
      <x:c r="H13" s="28" t="str">
        <x:v>Owner</x:v>
      </x:c>
    </x:row>
    <x:row r="14" ht="68" customHeight="1">
      <x:c r="A14" s="31" t="str">
        <x:v>Gartner-Lite</x:v>
      </x:c>
      <x:c r="B14" s="31" t="str">
        <x:v>Direction</x:v>
      </x:c>
      <x:c r="C14" s="31" t="str">
        <x:v>Mục tiêu tìm câu trả lời chính thức bằng ngôn ngữ tự nhiên đã rõ</x:v>
      </x:c>
      <x:c r="D14" s="31" t="str">
        <x:v>ĐẠT</x:v>
      </x:c>
      <x:c r="E14" s="31" t="str">
        <x:v>Pilot tập trung vào câu hỏi dịch vụ công</x:v>
      </x:c>
      <x:c r="F14" s="31" t="str"/>
      <x:c r="G14" s="31" t="str">
        <x:v>Giữ phạm vi hẹp theo chủ đề</x:v>
      </x:c>
      <x:c r="H14" s="31" t="str">
        <x:v>Product Manager</x:v>
      </x:c>
    </x:row>
    <x:row r="15" ht="68" customHeight="1">
      <x:c r="A15" s="32" t="str">
        <x:v>Gartner-Lite</x:v>
      </x:c>
      <x:c r="B15" s="32" t="str">
        <x:v>Readiness</x:v>
      </x:c>
      <x:c r="C15" s="32" t="str">
        <x:v>Retrieval/chunking và đánh giá accuracy chưa đủ cho rollout rộng</x:v>
      </x:c>
      <x:c r="D15" s="32" t="str">
        <x:v>THIẾU</x:v>
      </x:c>
      <x:c r="E15" s="32" t="str">
        <x:v>76% accuracy ban đầu; trang dài gây lỗi retrieval</x:v>
      </x:c>
      <x:c r="F15" s="32" t="str">
        <x:v>Kiến trúc tin cậy và readiness chưa đủ</x:v>
      </x:c>
      <x:c r="G15" s="32" t="str">
        <x:v>Eval set, regression, nguồn chính thức, QA chuyên gia</x:v>
      </x:c>
      <x:c r="H15" s="32" t="str">
        <x:v>AI Quality Lead</x:v>
      </x:c>
    </x:row>
    <x:row r="16" ht="68" customHeight="1">
      <x:c r="A16" s="32" t="str">
        <x:v>Gartner-Lite</x:v>
      </x:c>
      <x:c r="B16" s="32" t="str">
        <x:v>Absorption</x:v>
      </x:c>
      <x:c r="C16" s="32" t="str">
        <x:v>Chưa có handoff cho nhu cầu cần tư vấn viên có dữ liệu cá nhân</x:v>
      </x:c>
      <x:c r="D16" s="32" t="str">
        <x:v>THIẾU</x:v>
      </x:c>
      <x:c r="E16" s="32" t="str">
        <x:v>GDS nêu đây là khoảng trống dài hạn</x:v>
      </x:c>
      <x:c r="F16" s="32" t="str">
        <x:v>Workflow chưa có clarification và handoff</x:v>
      </x:c>
      <x:c r="G16" s="32" t="str">
        <x:v>Routing, queue, SLA và log handoff</x:v>
      </x:c>
      <x:c r="H16" s="32" t="str">
        <x:v>Service Owner</x:v>
      </x:c>
    </x:row>
    <x:row r="17" ht="68" customHeight="1">
      <x:c r="A17" s="32" t="str">
        <x:v>ADKAR</x:v>
      </x:c>
      <x:c r="B17" s="32" t="str">
        <x:v>Desire</x:v>
      </x:c>
      <x:c r="C17" s="32" t="str">
        <x:v>Người dùng khó cân bằng tiện lợi với rủi ro sai; thương hiệu GOV.UK làm tăng xu hướng tin</x:v>
      </x:c>
      <x:c r="D17" s="32" t="str">
        <x:v>NGHẼN</x:v>
      </x:c>
      <x:c r="E17" s="32" t="str">
        <x:v>Nghiên cứu ghi nhận một số người đánh giá thấp rủi ro inaccuracy</x:v>
      </x:c>
      <x:c r="F17" s="32" t="str">
        <x:v>Niềm tin chưa được hỗ trợ bằng cơ chế kiểm chứng</x:v>
      </x:c>
      <x:c r="G17" s="32" t="str">
        <x:v>Nguồn rõ, cảnh báo đúng chỗ, feedback và sửa lỗi</x:v>
      </x:c>
      <x:c r="H17" s="32" t="str">
        <x:v>User Research Lead</x:v>
      </x:c>
    </x:row>
    <x:row r="18" ht="68" customHeight="1">
      <x:c r="A18" s="32" t="str">
        <x:v>Mollick</x:v>
      </x:c>
      <x:c r="B18" s="32" t="str">
        <x:v>Chia việc</x:v>
      </x:c>
      <x:c r="C18" s="32" t="str">
        <x:v>AI tìm/tóm tắt; con người giữ quyền với nội dung chính thức, ngoại lệ và trường hợp cá nhân</x:v>
      </x:c>
      <x:c r="D18" s="32" t="str">
        <x:v>CẦN RÕ</x:v>
      </x:c>
      <x:c r="E18" s="32" t="str">
        <x:v>Chat chỉ dùng hướng dẫn GOV.UK; trường hợp cá nhân cần hỗ trợ người</x:v>
      </x:c>
      <x:c r="F18" s="32" t="str">
        <x:v>Ranh giới người–AI và bàn giao chưa hoàn chỉnh</x:v>
      </x:c>
      <x:c r="G18" s="32" t="str">
        <x:v>Human-in-the-loop và tiêu chí in/out-of-scope</x:v>
      </x:c>
      <x:c r="H18" s="32" t="str">
        <x:v>Content Lead</x:v>
      </x:c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8" t="str">
        <x:v>AS-IS</x:v>
      </x:c>
      <x:c r="B21" s="28" t="str">
        <x:v>Điểm rủi ro</x:v>
      </x:c>
      <x:c r="C21" s="28" t="str">
        <x:v>TO-BE</x:v>
      </x:c>
      <x:c r="D21" s="28" t="str">
        <x:v>Control/owner</x:v>
      </x:c>
      <x:c r="E21" s="2"/>
      <x:c r="F21" s="2"/>
      <x:c r="G21" s="2"/>
      <x:c r="H21" s="2"/>
    </x:row>
    <x:row r="22" ht="54" customHeight="1">
      <x:c r="A22" s="31" t="str">
        <x:v>Người dùng nhập câu hỏi tự do</x:v>
      </x:c>
      <x:c r="B22" s="31" t="str">
        <x:v>Câu hỏi mơ hồ hoặc ngoài phạm vi</x:v>
      </x:c>
      <x:c r="C22" s="31" t="str">
        <x:v>Phân loại in-scope; nếu mơ hồ thì hỏi lại</x:v>
      </x:c>
      <x:c r="D22" s="31" t="str">
        <x:v>AI Product Owner</x:v>
      </x:c>
      <x:c r="E22" s="2"/>
      <x:c r="F22" s="2"/>
      <x:c r="G22" s="2"/>
      <x:c r="H22" s="2"/>
    </x:row>
    <x:row r="23" ht="54" customHeight="1">
      <x:c r="A23" s="32" t="str">
        <x:v>Hệ thống tìm đoạn nội dung</x:v>
      </x:c>
      <x:c r="B23" s="32" t="str">
        <x:v>Trang dài/chunking làm mất ngữ cảnh</x:v>
      </x:c>
      <x:c r="C23" s="32" t="str">
        <x:v>Retrieval có benchmark theo chủ đề và regression suite</x:v>
      </x:c>
      <x:c r="D23" s="32" t="str">
        <x:v>AI Quality Lead</x:v>
      </x:c>
      <x:c r="E23" s="2"/>
      <x:c r="F23" s="2"/>
      <x:c r="G23" s="2"/>
      <x:c r="H23" s="2"/>
    </x:row>
    <x:row r="24" ht="54" customHeight="1">
      <x:c r="A24" s="32" t="str">
        <x:v>LLM tạo câu trả lời</x:v>
      </x:c>
      <x:c r="B24" s="32" t="str">
        <x:v>Có thể thiếu hoặc hallucinate</x:v>
      </x:c>
      <x:c r="C24" s="32" t="str">
        <x:v>Chỉ trả lời từ nội dung GOV.UK; kiểm tra groundedness</x:v>
      </x:c>
      <x:c r="D24" s="32" t="str">
        <x:v>AI Quality Lead</x:v>
      </x:c>
      <x:c r="E24" s="2"/>
      <x:c r="F24" s="2"/>
      <x:c r="G24" s="2"/>
      <x:c r="H24" s="2"/>
    </x:row>
    <x:row r="25" ht="54" customHeight="1">
      <x:c r="A25" s="32" t="str">
        <x:v>Người dùng nhận câu trả lời</x:v>
      </x:c>
      <x:c r="B25" s="32" t="str">
        <x:v>Có thể tin vì uy tín thương hiệu</x:v>
      </x:c>
      <x:c r="C25" s="32" t="str">
        <x:v>Hiển thị nguồn, phạm vi và lời nhắc kiểm tra</x:v>
      </x:c>
      <x:c r="D25" s="32" t="str">
        <x:v>Content Lead</x:v>
      </x:c>
      <x:c r="E25" s="2"/>
      <x:c r="F25" s="2"/>
      <x:c r="G25" s="2"/>
      <x:c r="H25" s="2"/>
    </x:row>
    <x:row r="26" ht="54" customHeight="1">
      <x:c r="A26" s="32" t="str">
        <x:v>Không có bước xử lý nhu cầu cá nhân</x:v>
      </x:c>
      <x:c r="B26" s="32" t="str">
        <x:v>Người dùng bị cụt hành trình</x:v>
      </x:c>
      <x:c r="C26" s="32" t="str">
        <x:v>Handoff sang hỗ trợ đúng bộ phận với SLA</x:v>
      </x:c>
      <x:c r="D26" s="32" t="str">
        <x:v>Service Owner</x:v>
      </x:c>
      <x:c r="E26" s="2"/>
      <x:c r="F26" s="2"/>
      <x:c r="G26" s="2"/>
      <x:c r="H26" s="2"/>
    </x:row>
    <x:row r="27" ht="54" customHeight="1">
      <x:c r="A27" s="32" t="str">
        <x:v>Feedback rời rạc</x:v>
      </x:c>
      <x:c r="B27" s="32" t="str">
        <x:v>Lỗi không quay lại backlog</x:v>
      </x:c>
      <x:c r="C27" s="32" t="str">
        <x:v>Log feedback; review failure set hàng tuần; cập nhật eval</x:v>
      </x:c>
      <x:c r="D27" s="32" t="str">
        <x:v>Product Manager</x:v>
      </x:c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8" t="str">
        <x:v>Kiến trúc tin cậy</x:v>
      </x:c>
      <x:c r="B30" s="37"/>
      <x:c r="C30" s="37"/>
      <x:c r="D30" s="37"/>
      <x:c r="E30" s="37"/>
      <x:c r="F30" s="37"/>
      <x:c r="G30" s="37"/>
      <x:c r="H30" s="9"/>
    </x:row>
    <x:row r="31" ht="45" customHeight="1">
      <x:c r="A31" s="46" t="str">
        <x:v>Nguồn</x:v>
      </x:c>
      <x:c r="B31" s="46" t="str">
        <x:v>Chỉ nội dung GOV.UK đã được phê duyệt</x:v>
      </x:c>
      <x:c r="C31" s="46" t="str">
        <x:v>Trích nguồn</x:v>
      </x:c>
      <x:c r="D31" s="46" t="str">
        <x:v>Link trang dùng để trả lời</x:v>
      </x:c>
      <x:c r="E31" s="46" t="str">
        <x:v>QA mẫu</x:v>
      </x:c>
      <x:c r="F31" s="46" t="str">
        <x:v>Expert + automated eval</x:v>
      </x:c>
      <x:c r="G31" s="46" t="str">
        <x:v>Chuyển người</x:v>
      </x:c>
      <x:c r="H31" s="46" t="str">
        <x:v>Support theo nhu cầu</x:v>
      </x:c>
    </x:row>
    <x:row r="32" ht="45" customHeight="1">
      <x:c r="A32" s="46" t="str">
        <x:v>Phản hồi</x:v>
      </x:c>
      <x:c r="B32" s="46" t="str">
        <x:v>Message-level feedback và khảo sát</x:v>
      </x:c>
      <x:c r="C32" s="46" t="str">
        <x:v>Học từ lỗi</x:v>
      </x:c>
      <x:c r="D32" s="46" t="str">
        <x:v>Failure set cập nhật mỗi tuần</x:v>
      </x:c>
      <x:c r="E32" s="46" t="str">
        <x:v>Release gate</x:v>
      </x:c>
      <x:c r="F32" s="46" t="str">
        <x:v>Regression không giảm accuracy</x:v>
      </x:c>
      <x:c r="G32" s="46" t="str">
        <x:v>Owner</x:v>
      </x:c>
      <x:c r="H32" s="46" t="str">
        <x:v>Product Manager</x:v>
      </x:c>
    </x:row>
    <x:row r="33" ht="45" customHeight="1">
      <x:c r="A33" s="46" t="str">
        <x:v>AI tự động</x:v>
      </x:c>
      <x:c r="B33" s="46" t="str">
        <x:v>Phân loại in/out-of-scope; tìm nguồn</x:v>
      </x:c>
      <x:c r="C33" s="46" t="str">
        <x:v>AI hỗ trợ</x:v>
      </x:c>
      <x:c r="D33" s="46" t="str">
        <x:v>Soạn câu trả lời và tóm tắt</x:v>
      </x:c>
      <x:c r="E33" s="46" t="str">
        <x:v>Người giữ quyền</x:v>
      </x:c>
      <x:c r="F33" s="46" t="str">
        <x:v>Content owner, SME và support</x:v>
      </x:c>
      <x:c r="G33" s="46" t="str">
        <x:v>Ngoại lệ</x:v>
      </x:c>
      <x:c r="H33" s="46" t="str">
        <x:v>Câu hỏi cá nhân/rủi ro cao</x:v>
      </x:c>
    </x:row>
    <x:row r="34" ht="45" customHeight="1">
      <x:c r="A34" s="46" t="str">
        <x:v>Nguyên tắc</x:v>
      </x:c>
      <x:c r="B34" s="46" t="str">
        <x:v>Không để tốc độ lấn át accuracy</x:v>
      </x:c>
      <x:c r="C34" s="46" t="str">
        <x:v>Bảo mật</x:v>
      </x:c>
      <x:c r="D34" s="46" t="str">
        <x:v>Không yêu cầu dữ liệu cá nhân trong chat</x:v>
      </x:c>
      <x:c r="E34" s="46" t="str">
        <x:v>Giám sát</x:v>
      </x:c>
      <x:c r="F34" s="46" t="str">
        <x:v>Log chất lượng và safety</x:v>
      </x:c>
      <x:c r="G34" s="46" t="str">
        <x:v>Quyết định</x:v>
      </x:c>
      <x:c r="H34" s="46" t="str">
        <x:v>Sửa rồi tiếp tục pilot</x:v>
      </x:c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</x:sheetData>
  <x:mergeCells>
    <x:mergeCell ref="A2:H2"/>
    <x:mergeCell ref="A5:H5"/>
    <x:mergeCell ref="A12:H12"/>
    <x:mergeCell ref="A30:H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E8F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24" hidden="0" customWidth="1"/>
    <x:col min="5" max="5" width="30" hidden="0" customWidth="1"/>
    <x:col min="6" max="6" width="36" hidden="0" customWidth="1"/>
    <x:col min="7" max="7" width="38" hidden="0" customWidth="1"/>
    <x:col min="8" max="8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Lộ trình 30–60–90 ngày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8" t="str">
        <x:v>Giai đoạn</x:v>
      </x:c>
      <x:c r="B5" s="28" t="str">
        <x:v>Mục tiêu</x:v>
      </x:c>
      <x:c r="C5" s="28" t="str">
        <x:v>Hành động</x:v>
      </x:c>
      <x:c r="D5" s="28" t="str">
        <x:v>Owner</x:v>
      </x:c>
      <x:c r="E5" s="28" t="str">
        <x:v>Bằng chứng</x:v>
      </x:c>
      <x:c r="F5" s="28" t="str">
        <x:v>Gate</x:v>
      </x:c>
      <x:c r="G5" s="28" t="str">
        <x:v>Nếu không đạt</x:v>
      </x:c>
      <x:c r="H5" s="28" t="str">
        <x:v>Quyết định</x:v>
      </x:c>
    </x:row>
    <x:row r="6" ht="90" customHeight="1">
      <x:c r="A6" s="31" t="str">
        <x:v>0–30 ngày</x:v>
      </x:c>
      <x:c r="B6" s="31" t="str">
        <x:v>Chứng minh vấn đề và baseline</x:v>
      </x:c>
      <x:c r="C6" s="31" t="str">
        <x:v>Khoá 3 workflow; dựng eval set; đo accuracy, usefulness, satisfaction, latency; chỉ định content/data owner</x:v>
      </x:c>
      <x:c r="D6" s="31" t="str">
        <x:v>Product Manager + Content Lead</x:v>
      </x:c>
      <x:c r="E6" s="31" t="str">
        <x:v>Mẫu QA chuyên gia; log hội thoại; bảng baseline</x:v>
      </x:c>
      <x:c r="F6" s="31" t="str">
        <x:v>Có baseline và owner cho mọi chỉ số; scope/governance được duyệt</x:v>
      </x:c>
      <x:c r="G6" s="31" t="str">
        <x:v>Thu hẹp chủ đề và kéo dài pilot</x:v>
      </x:c>
      <x:c r="H6" s="31" t="str">
        <x:v>Qua Gate 30</x:v>
      </x:c>
    </x:row>
    <x:row r="7" ht="90" customHeight="1">
      <x:c r="A7" s="32" t="str">
        <x:v>31–60 ngày</x:v>
      </x:c>
      <x:c r="B7" s="32" t="str">
        <x:v>Chứng minh chất lượng và bàn giao</x:v>
      </x:c>
      <x:c r="C7" s="32" t="str">
        <x:v>Sửa retrieval/chunking; bật citations; thêm clarification; thử handoff; chạy regression và QA mẫu</x:v>
      </x:c>
      <x:c r="D7" s="32" t="str">
        <x:v>AI Quality Lead + Service Owner</x:v>
      </x:c>
      <x:c r="E7" s="32" t="str">
        <x:v>Accuracy report; failure set; log handoff; safety review</x:v>
      </x:c>
      <x:c r="F7" s="32" t="str">
        <x:v>Accuracy ≥90%; answer rate ≥88%; handoff đo được; không có sự cố nghiêm trọng</x:v>
      </x:c>
      <x:c r="G7" s="32" t="str">
        <x:v>Giữ pilot; không rollout rộng</x:v>
      </x:c>
      <x:c r="H7" s="32" t="str">
        <x:v>Qua Gate 60 khi đủ bằng chứng</x:v>
      </x:c>
    </x:row>
    <x:row r="8" ht="90" customHeight="1">
      <x:c r="A8" s="32" t="str">
        <x:v>61–90 ngày</x:v>
      </x:c>
      <x:c r="B8" s="32" t="str">
        <x:v>Quyết định mở rộng</x:v>
      </x:c>
      <x:c r="C8" s="32" t="str">
        <x:v>Pilot trong app; tối ưu latency; theo dõi 5 tầng; review hằng tuần; chốt runbook vận hành</x:v>
      </x:c>
      <x:c r="D8" s="32" t="str">
        <x:v>Service Owner</x:v>
      </x:c>
      <x:c r="E8" s="32" t="str">
        <x:v>Dashboard v2; runbook; quyết định governance</x:v>
      </x:c>
      <x:c r="F8" s="32" t="str">
        <x:v>Accuracy ≥90%; usefulness ≥73%; satisfaction ≥70%; latency ≤10s; handoff ≥80%</x:v>
      </x:c>
      <x:c r="G8" s="32" t="str">
        <x:v>Sửa UX/tốc độ nếu chất lượng đạt; dừng nếu safety/accuracy không đạt</x:v>
      </x:c>
      <x:c r="H8" s="32" t="str">
        <x:v>SỬA rồi tiếp tục pilot có kiểm soát</x:v>
      </x:c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8" t="str">
        <x:v>RACI vận hành</x:v>
      </x:c>
      <x:c r="B11" s="37"/>
      <x:c r="C11" s="37"/>
      <x:c r="D11" s="37"/>
      <x:c r="E11" s="37"/>
      <x:c r="F11" s="37"/>
      <x:c r="G11" s="37"/>
      <x:c r="H11" s="9"/>
    </x:row>
    <x:row r="12">
      <x:c r="A12" s="28" t="str">
        <x:v>Hạng mục</x:v>
      </x:c>
      <x:c r="B12" s="28" t="str">
        <x:v>Product Manager</x:v>
      </x:c>
      <x:c r="C12" s="28" t="str">
        <x:v>AI Quality Lead</x:v>
      </x:c>
      <x:c r="D12" s="28" t="str">
        <x:v>Content Lead</x:v>
      </x:c>
      <x:c r="E12" s="28" t="str">
        <x:v>Service Owner</x:v>
      </x:c>
      <x:c r="F12" s="28" t="str">
        <x:v>User Research Lead</x:v>
      </x:c>
      <x:c r="G12" s="2"/>
      <x:c r="H12" s="2"/>
    </x:row>
    <x:row r="13" ht="28" customHeight="1">
      <x:c r="A13" s="31" t="str">
        <x:v>Phạm vi và gate</x:v>
      </x:c>
      <x:c r="B13" s="35" t="str">
        <x:v>A/R</x:v>
      </x:c>
      <x:c r="C13" s="35" t="str">
        <x:v>C</x:v>
      </x:c>
      <x:c r="D13" s="35" t="str">
        <x:v>C</x:v>
      </x:c>
      <x:c r="E13" s="35" t="str">
        <x:v>C</x:v>
      </x:c>
      <x:c r="F13" s="35" t="str">
        <x:v>C</x:v>
      </x:c>
      <x:c r="G13" s="2"/>
      <x:c r="H13" s="2"/>
    </x:row>
    <x:row r="14" ht="28" customHeight="1">
      <x:c r="A14" s="32" t="str">
        <x:v>Eval và regression</x:v>
      </x:c>
      <x:c r="B14" s="36" t="str">
        <x:v>A</x:v>
      </x:c>
      <x:c r="C14" s="36" t="str">
        <x:v>R</x:v>
      </x:c>
      <x:c r="D14" s="36" t="str">
        <x:v>C</x:v>
      </x:c>
      <x:c r="E14" s="36" t="str">
        <x:v>I</x:v>
      </x:c>
      <x:c r="F14" s="36" t="str">
        <x:v>C</x:v>
      </x:c>
      <x:c r="G14" s="2"/>
      <x:c r="H14" s="2"/>
    </x:row>
    <x:row r="15" ht="28" customHeight="1">
      <x:c r="A15" s="32" t="str">
        <x:v>Nguồn và nội dung</x:v>
      </x:c>
      <x:c r="B15" s="36" t="str">
        <x:v>A</x:v>
      </x:c>
      <x:c r="C15" s="36" t="str">
        <x:v>C</x:v>
      </x:c>
      <x:c r="D15" s="36" t="str">
        <x:v>R</x:v>
      </x:c>
      <x:c r="E15" s="36" t="str">
        <x:v>I</x:v>
      </x:c>
      <x:c r="F15" s="36" t="str">
        <x:v>C</x:v>
      </x:c>
      <x:c r="G15" s="2"/>
      <x:c r="H15" s="2"/>
    </x:row>
    <x:row r="16" ht="28" customHeight="1">
      <x:c r="A16" s="32" t="str">
        <x:v>Clarification/handoff</x:v>
      </x:c>
      <x:c r="B16" s="36" t="str">
        <x:v>A</x:v>
      </x:c>
      <x:c r="C16" s="36" t="str">
        <x:v>C</x:v>
      </x:c>
      <x:c r="D16" s="36" t="str">
        <x:v>C</x:v>
      </x:c>
      <x:c r="E16" s="36" t="str">
        <x:v>R</x:v>
      </x:c>
      <x:c r="F16" s="36" t="str">
        <x:v>C</x:v>
      </x:c>
      <x:c r="G16" s="2"/>
      <x:c r="H16" s="2"/>
    </x:row>
    <x:row r="17" ht="28" customHeight="1">
      <x:c r="A17" s="32" t="str">
        <x:v>Khảo sát và research</x:v>
      </x:c>
      <x:c r="B17" s="36" t="str">
        <x:v>A</x:v>
      </x:c>
      <x:c r="C17" s="36" t="str">
        <x:v>I</x:v>
      </x:c>
      <x:c r="D17" s="36" t="str">
        <x:v>C</x:v>
      </x:c>
      <x:c r="E17" s="36" t="str">
        <x:v>C</x:v>
      </x:c>
      <x:c r="F17" s="36" t="str">
        <x:v>R</x:v>
      </x:c>
      <x:c r="G17" s="2"/>
      <x:c r="H17" s="2"/>
    </x:row>
    <x:row r="18" ht="28" customHeight="1">
      <x:c r="A18" s="32" t="str">
        <x:v>Quyết định mở rộng</x:v>
      </x:c>
      <x:c r="B18" s="36" t="str">
        <x:v>R</x:v>
      </x:c>
      <x:c r="C18" s="36" t="str">
        <x:v>C</x:v>
      </x:c>
      <x:c r="D18" s="36" t="str">
        <x:v>C</x:v>
      </x:c>
      <x:c r="E18" s="36" t="str">
        <x:v>A</x:v>
      </x:c>
      <x:c r="F18" s="36" t="str">
        <x:v>C</x:v>
      </x:c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</x:sheetData>
  <x:mergeCells>
    <x:mergeCell ref="A2:H2"/>
    <x:mergeCell ref="A11:H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195A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52" hidden="0" customWidth="1"/>
    <x:col min="4" max="4" width="58" hidden="0" customWidth="1"/>
    <x:col min="5" max="5" width="25" hidden="0" customWidth="1"/>
    <x:col min="6" max="6" width="36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Nguồn và giới hạn bằng chứng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>
      <x:c r="A5" s="28" t="str">
        <x:v>Nguồn</x:v>
      </x:c>
      <x:c r="B5" s="28" t="str">
        <x:v>Ngày</x:v>
      </x:c>
      <x:c r="C5" s="28" t="str">
        <x:v>Bằng chứng dùng</x:v>
      </x:c>
      <x:c r="D5" s="28" t="str">
        <x:v>URL</x:v>
      </x:c>
      <x:c r="E5" s="28" t="str">
        <x:v>Dùng ở đâu</x:v>
      </x:c>
      <x:c r="F5" s="28" t="str">
        <x:v>Giới hạn</x:v>
      </x:c>
    </x:row>
    <x:row r="6" ht="78" customHeight="1">
      <x:c r="A6" s="31" t="str">
        <x:v>Inside GOV.UK: The findings of our first generative AI experiment</x:v>
      </x:c>
      <x:c r="B6" s="47" t="d">
        <x:v>2024-01-18T00:00:00.000Z</x:v>
      </x:c>
      <x:c r="C6" s="31" t="str">
        <x:v>Gần 70% thấy hữu ích; gần 65% hài lòng; accuracy chưa đạt mức yêu cầu; có hallucination; người dùng có thể đánh giá thấp rủi ro</x:v>
      </x:c>
      <x:c r="D6" s="31" t="str">
        <x:v>https://insidegovuk.blog.gov.uk/2024/01/18/the-findings-of-our-first-generative-ai-experiment-gov-uk-chat/</x:v>
      </x:c>
      <x:c r="E6" s="31" t="str">
        <x:v>Baseline, nguyên nhân gốc</x:v>
      </x:c>
      <x:c r="F6" s="31" t="str">
        <x:v>Bài viết không công bố một tỷ lệ accuracy duy nhất cho toàn pilot</x:v>
      </x:c>
    </x:row>
    <x:row r="7" ht="78" customHeight="1">
      <x:c r="A7" s="32" t="str">
        <x:v>GOV.UK AI Playbook</x:v>
      </x:c>
      <x:c r="B7" s="48" t="d">
        <x:v>2025-02-10T00:00:00.000Z</x:v>
      </x:c>
      <x:c r="C7" s="32" t="str">
        <x:v>Case mô tả phased experiments, expert evaluation, khoảng 70% useful và 65% satisfaction; xác nhận lo ngại reliability/hallucination</x:v>
      </x:c>
      <x:c r="D7" s="32" t="str">
        <x:v>https://www.gov.uk/government/publications/ai-playbook-for-the-uk-government/artificial-intelligence-playbook-for-the-uk-government-html</x:v>
      </x:c>
      <x:c r="E7" s="32" t="str">
        <x:v>Framework và bằng chứng</x:v>
      </x:c>
      <x:c r="F7" s="32" t="str">
        <x:v>Số liệu làm tròn</x:v>
      </x:c>
    </x:row>
    <x:row r="8" ht="78" customHeight="1">
      <x:c r="A8" s="32" t="str">
        <x:v>Inside GOV.UK: 5 things we learned testing GOV.UK Chat</x:v>
      </x:c>
      <x:c r="B8" s="48" t="d">
        <x:v>2026-03-16T00:00:00.000Z</x:v>
      </x:c>
      <x:c r="C8" s="32" t="str">
        <x:v>Hơn 10.000 người, 26.000 câu hỏi; accuracy từ 76% lên 90%; useful 73%; satisfaction 64%; answer rate 88%; latency 10,7 giây</x:v>
      </x:c>
      <x:c r="D8" s="32" t="str">
        <x:v>https://insidegovuk.blog.gov.uk/2026/03/16/5-things-we-learned-testing-gov-uk-chat-an-ai-assistant-for-government/</x:v>
      </x:c>
      <x:c r="E8" s="32" t="str">
        <x:v>Latest actual, target logic</x:v>
      </x:c>
      <x:c r="F8" s="32" t="str">
        <x:v>Khác giai đoạn và mẫu người dùng; không coi là A/B trực tiếp</x:v>
      </x:c>
    </x:row>
    <x:row r="9" ht="78" customHeight="1">
      <x:c r="A9" s="32" t="str">
        <x:v>GOV.UK Algorithmic Transparency Record</x:v>
      </x:c>
      <x:c r="B9" s="48" t="d">
        <x:v>2025-10-01T00:00:00.000Z</x:v>
      </x:c>
      <x:c r="C9" s="32" t="str">
        <x:v>Mô tả RAG, danh sách nguồn, hybrid eval, risk inaccurate responses và biện pháp kiểm soát</x:v>
      </x:c>
      <x:c r="D9" s="32" t="str">
        <x:v>https://www.gov.uk/algorithmic-transparency-records/dsit-gov-dot-uk-chat</x:v>
      </x:c>
      <x:c r="E9" s="32" t="str">
        <x:v>Kiến trúc tin cậy</x:v>
      </x:c>
      <x:c r="F9" s="32" t="str">
        <x:v>Ngày hiển thị là tháng công bố hồ sơ</x:v>
      </x:c>
    </x:row>
    <x:row r="10" ht="78" customHeight="1">
      <x:c r="A10" s="32" t="str">
        <x:v>GOV.UK Chat evaluation repository documentation</x:v>
      </x:c>
      <x:c r="B10" s="48" t="d">
        <x:v>2026-01-01T00:00:00.000Z</x:v>
      </x:c>
      <x:c r="C10" s="32" t="str">
        <x:v>Xác nhận công cụ eval có expected vs actual outputs và owner kỹ thuật</x:v>
      </x:c>
      <x:c r="D10" s="32" t="str">
        <x:v>https://docs.publishing.service.gov.uk/repos/govuk-chat-evaluation.html</x:v>
      </x:c>
      <x:c r="E10" s="32" t="str">
        <x:v>Owner/eval</x:v>
      </x:c>
      <x:c r="F10" s="32" t="str">
        <x:v>Ngày chỉ dùng để sắp thứ tự; trang không nêu ngày phát hành</x:v>
      </x:c>
    </x:row>
    <x:row r="11">
      <x:c r="A11" s="2"/>
      <x:c r="B11" s="2"/>
      <x:c r="C11" s="2"/>
      <x:c r="D11" s="2"/>
      <x:c r="E11" s="2"/>
      <x:c r="F11" s="2"/>
    </x:row>
    <x:row r="12">
      <x:c r="A12" s="2"/>
      <x:c r="B12" s="2"/>
      <x:c r="C12" s="2"/>
      <x:c r="D12" s="2"/>
      <x:c r="E12" s="2"/>
      <x:c r="F12" s="2"/>
    </x:row>
    <x:row r="13">
      <x:c r="A13" s="8" t="str">
        <x:v>Giới hạn sử dụng số liệu</x:v>
      </x:c>
      <x:c r="B13" s="37"/>
      <x:c r="C13" s="37"/>
      <x:c r="D13" s="37"/>
      <x:c r="E13" s="37"/>
      <x:c r="F13" s="9"/>
    </x:row>
    <x:row r="14" ht="42" customHeight="1">
      <x:c r="A14" s="29" t="str">
        <x:v>Đây là phân tích hồi cứu phục vụ bài lab. Baseline 2023–2024 và latest actual 2026 đến từ các pilot khác giai đoạn; chỉ dùng để thiết kế gate, không suy diễn quan hệ nhân quả.</x:v>
      </x:c>
      <x:c r="B14" s="29"/>
      <x:c r="C14" s="29"/>
      <x:c r="D14" s="29"/>
      <x:c r="E14" s="29"/>
      <x:c r="F14" s="29"/>
    </x:row>
    <x:row r="15" ht="42" customHeight="1">
      <x:c r="A15" s="29" t="str">
        <x:v>Các baseline không được công bố được ghi rõ 'đo tuần 1' hoặc 'chưa có quy trình'; không thay bằng số giả.</x:v>
      </x:c>
      <x:c r="B15" s="29"/>
      <x:c r="C15" s="29"/>
      <x:c r="D15" s="29"/>
      <x:c r="E15" s="29"/>
      <x:c r="F15" s="29"/>
    </x:row>
    <x:row r="16" ht="42" customHeight="1">
      <x:c r="A16" s="29" t="str">
        <x:v>Không đưa dữ liệu cá nhân hoặc dữ liệu nội bộ của người học vào file.</x:v>
      </x:c>
      <x:c r="B16" s="29"/>
      <x:c r="C16" s="29"/>
      <x:c r="D16" s="29"/>
      <x:c r="E16" s="29"/>
      <x:c r="F16" s="29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</x:sheetData>
  <x:mergeCells>
    <x:mergeCell ref="A2:F2"/>
    <x:mergeCell ref="A13:F13"/>
    <x:mergeCell ref="A14:F14"/>
    <x:mergeCell ref="A15:F15"/>
    <x:mergeCell ref="A16:F16"/>
  </x:mergeCells>
  <x:pageMargins left="0.7" right="0.7" top="0.75" bottom="0.75" header="0.3" footer="0.3"/>
</x:worksheet>
</file>